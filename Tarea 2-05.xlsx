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\Downloads\"/>
    </mc:Choice>
  </mc:AlternateContent>
  <xr:revisionPtr revIDLastSave="0" documentId="13_ncr:1_{198F2970-1EC3-4C87-BD1E-DAC6D61087BF}" xr6:coauthVersionLast="47" xr6:coauthVersionMax="47" xr10:uidLastSave="{00000000-0000-0000-0000-000000000000}"/>
  <bookViews>
    <workbookView xWindow="-108" yWindow="-108" windowWidth="23256" windowHeight="12456" activeTab="1" xr2:uid="{E09F3022-1386-4ABF-B93F-3DD98C0A8BA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D12" i="2" s="1"/>
  <c r="B12" i="2"/>
  <c r="B13" i="2" s="1"/>
  <c r="B33" i="1"/>
  <c r="B34" i="1"/>
  <c r="B35" i="1"/>
  <c r="B36" i="1"/>
  <c r="B37" i="1" a="1"/>
  <c r="B37" i="1" s="1"/>
  <c r="C13" i="2" l="1"/>
  <c r="D13" i="2" s="1"/>
  <c r="B14" i="2"/>
  <c r="C14" i="2" s="1"/>
  <c r="B15" i="2"/>
  <c r="D14" i="2"/>
  <c r="E13" i="2"/>
  <c r="E12" i="2"/>
  <c r="C15" i="2" l="1"/>
  <c r="E14" i="2"/>
  <c r="D15" i="2"/>
  <c r="E15" i="2" s="1"/>
  <c r="B16" i="2"/>
  <c r="C16" i="2" l="1"/>
  <c r="B17" i="2" l="1"/>
  <c r="D16" i="2"/>
  <c r="E16" i="2" s="1"/>
  <c r="C17" i="2" l="1"/>
  <c r="D17" i="2" l="1"/>
  <c r="E17" i="2" s="1"/>
  <c r="B18" i="2"/>
  <c r="C18" i="2" l="1"/>
  <c r="D18" i="2" l="1"/>
  <c r="E18" i="2"/>
  <c r="B19" i="2"/>
  <c r="C19" i="2" l="1"/>
  <c r="D19" i="2" l="1"/>
  <c r="B20" i="2"/>
  <c r="E19" i="2" l="1"/>
  <c r="C20" i="2"/>
  <c r="B21" i="2" s="1"/>
  <c r="D20" i="2" l="1"/>
  <c r="E20" i="2" l="1"/>
  <c r="C21" i="2"/>
  <c r="D21" i="2" s="1"/>
  <c r="B22" i="2" l="1"/>
  <c r="C22" i="2" s="1"/>
  <c r="E21" i="2"/>
  <c r="B23" i="2" l="1"/>
  <c r="D22" i="2"/>
  <c r="C23" i="2" l="1"/>
  <c r="E22" i="2"/>
  <c r="B24" i="2"/>
  <c r="D23" i="2" l="1"/>
  <c r="E23" i="2" l="1"/>
  <c r="C24" i="2"/>
  <c r="B25" i="2" l="1"/>
  <c r="D24" i="2"/>
  <c r="E24" i="2" l="1"/>
  <c r="C25" i="2"/>
  <c r="B26" i="2" l="1"/>
  <c r="D25" i="2"/>
  <c r="C26" i="2" l="1"/>
  <c r="D26" i="2" s="1"/>
  <c r="E25" i="2"/>
  <c r="E2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<sst xmlns="http://schemas.openxmlformats.org/spreadsheetml/2006/main" count="71" uniqueCount="47">
  <si>
    <t>A</t>
  </si>
  <si>
    <t>B</t>
  </si>
  <si>
    <t>C</t>
  </si>
  <si>
    <t>D</t>
  </si>
  <si>
    <t>E</t>
  </si>
  <si>
    <t>x1</t>
  </si>
  <si>
    <t>x2</t>
  </si>
  <si>
    <t>x3</t>
  </si>
  <si>
    <t>Error</t>
  </si>
  <si>
    <t>MÉTODO SRS - COPIAR Y PEGAR EN EXCEL</t>
  </si>
  <si>
    <t>CONFIGURACIÓN (Fila 1-3)</t>
  </si>
  <si>
    <t>ω (omega)</t>
  </si>
  <si>
    <t>Tolerancia</t>
  </si>
  <si>
    <t>COEFICIENTES DE LA MATRIZ (Fila 5-7)</t>
  </si>
  <si>
    <t>a11</t>
  </si>
  <si>
    <t>a12</t>
  </si>
  <si>
    <t>a13</t>
  </si>
  <si>
    <t>b1</t>
  </si>
  <si>
    <t>TABLA DE ITERACIONES (Empezar en fila 10)</t>
  </si>
  <si>
    <t>ENCABEZADOS (Fila 10):</t>
  </si>
  <si>
    <t>k</t>
  </si>
  <si>
    <t>VALORES INICIALES (Fila 11):</t>
  </si>
  <si>
    <t>FILA 12 (Primera iteración) - COPIAR ESTAS FÓRMULAS:</t>
  </si>
  <si>
    <t>Celda</t>
  </si>
  <si>
    <t>Fórmula</t>
  </si>
  <si>
    <t>A12</t>
  </si>
  <si>
    <t>B12</t>
  </si>
  <si>
    <t>C12</t>
  </si>
  <si>
    <t>D12</t>
  </si>
  <si>
    <t>E12</t>
  </si>
  <si>
    <t>INSTRUCCIONES:</t>
  </si>
  <si>
    <r>
      <t>1. Pega los datos</t>
    </r>
    <r>
      <rPr>
        <sz val="11"/>
        <color theme="1"/>
        <rFont val="Aptos Narrow"/>
        <family val="2"/>
        <scheme val="minor"/>
      </rPr>
      <t xml:space="preserve"> de configuración y matriz en las posiciones indicadas</t>
    </r>
  </si>
  <si>
    <r>
      <t>2. Pega los encabezados</t>
    </r>
    <r>
      <rPr>
        <sz val="11"/>
        <color theme="1"/>
        <rFont val="Aptos Narrow"/>
        <family val="2"/>
        <scheme val="minor"/>
      </rPr>
      <t xml:space="preserve"> en la fila 10</t>
    </r>
  </si>
  <si>
    <r>
      <t>3. Pega los valores iniciales</t>
    </r>
    <r>
      <rPr>
        <sz val="11"/>
        <color theme="1"/>
        <rFont val="Aptos Narrow"/>
        <family val="2"/>
        <scheme val="minor"/>
      </rPr>
      <t xml:space="preserve"> (0, 0, 0) en la fila 11</t>
    </r>
  </si>
  <si>
    <r>
      <t>4. Pega las fórmulas</t>
    </r>
    <r>
      <rPr>
        <sz val="11"/>
        <color theme="1"/>
        <rFont val="Aptos Narrow"/>
        <family val="2"/>
        <scheme val="minor"/>
      </rPr>
      <t xml:space="preserve"> en la fila 12</t>
    </r>
  </si>
  <si>
    <r>
      <t>5. Selecciona la fila 12 completa</t>
    </r>
    <r>
      <rPr>
        <sz val="11"/>
        <color theme="1"/>
        <rFont val="Aptos Narrow"/>
        <family val="2"/>
        <scheme val="minor"/>
      </rPr>
      <t xml:space="preserve"> (A12:E12) y </t>
    </r>
    <r>
      <rPr>
        <b/>
        <sz val="11"/>
        <color theme="1"/>
        <rFont val="Aptos Narrow"/>
        <family val="2"/>
        <scheme val="minor"/>
      </rPr>
      <t>arrastra hacia abajo</t>
    </r>
    <r>
      <rPr>
        <sz val="11"/>
        <color theme="1"/>
        <rFont val="Aptos Narrow"/>
        <family val="2"/>
        <scheme val="minor"/>
      </rPr>
      <t xml:space="preserve"> hasta que el Error (columna E) sea menor que 0.00001</t>
    </r>
  </si>
  <si>
    <t>La solución estará en las columnas B, C, D de la última fila donde converge.</t>
  </si>
  <si>
    <t>VALORES PARA COPIAR DIRECTAMENTE:</t>
  </si>
  <si>
    <r>
      <t xml:space="preserve">Fila 1: </t>
    </r>
    <r>
      <rPr>
        <b/>
        <sz val="10"/>
        <color theme="1"/>
        <rFont val="Arial Unicode MS"/>
      </rPr>
      <t>ω (omega)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1.1838</t>
    </r>
  </si>
  <si>
    <r>
      <t xml:space="preserve">Fila 2: </t>
    </r>
    <r>
      <rPr>
        <b/>
        <sz val="10"/>
        <color theme="1"/>
        <rFont val="Arial Unicode MS"/>
      </rPr>
      <t>Tolerancia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0.00001</t>
    </r>
  </si>
  <si>
    <r>
      <t xml:space="preserve">Fila 5: </t>
    </r>
    <r>
      <rPr>
        <b/>
        <sz val="10"/>
        <color theme="1"/>
        <rFont val="Arial Unicode MS"/>
      </rPr>
      <t>a11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a12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a13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b1</t>
    </r>
  </si>
  <si>
    <r>
      <t xml:space="preserve">Fila 6: </t>
    </r>
    <r>
      <rPr>
        <b/>
        <sz val="10"/>
        <color theme="1"/>
        <rFont val="Arial Unicode MS"/>
      </rPr>
      <t>6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4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0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26</t>
    </r>
  </si>
  <si>
    <r>
      <t xml:space="preserve">Fila 7: </t>
    </r>
    <r>
      <rPr>
        <b/>
        <sz val="10"/>
        <color theme="1"/>
        <rFont val="Arial Unicode MS"/>
      </rPr>
      <t>4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8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-2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-48</t>
    </r>
  </si>
  <si>
    <r>
      <t xml:space="preserve">Fila 8: </t>
    </r>
    <r>
      <rPr>
        <b/>
        <sz val="10"/>
        <color theme="1"/>
        <rFont val="Arial Unicode MS"/>
      </rPr>
      <t>0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-2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5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31</t>
    </r>
  </si>
  <si>
    <r>
      <t xml:space="preserve">Fila 10: </t>
    </r>
    <r>
      <rPr>
        <b/>
        <sz val="10"/>
        <color theme="1"/>
        <rFont val="Arial Unicode MS"/>
      </rPr>
      <t>k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x1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x2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x3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Error</t>
    </r>
  </si>
  <si>
    <r>
      <t xml:space="preserve">Fila 11: </t>
    </r>
    <r>
      <rPr>
        <b/>
        <sz val="10"/>
        <color theme="1"/>
        <rFont val="Arial Unicode MS"/>
      </rPr>
      <t>0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0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0</t>
    </r>
    <r>
      <rPr>
        <b/>
        <sz val="13.5"/>
        <color theme="1"/>
        <rFont val="Aptos Narrow"/>
        <family val="2"/>
        <scheme val="minor"/>
      </rPr>
      <t xml:space="preserve"> | </t>
    </r>
    <r>
      <rPr>
        <b/>
        <sz val="10"/>
        <color theme="1"/>
        <rFont val="Arial Unicode MS"/>
      </rPr>
      <t>0</t>
    </r>
  </si>
  <si>
    <t>converge en cero, digamos que como en 15 pasos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</si>
</sst>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17FC-2BF9-4B6A-AD9F-6BBA584CE670}">
  <dimension ref="A1:J67"/>
  <sheetViews>
    <sheetView topLeftCell="A18" workbookViewId="0">
      <selection activeCell="B33" sqref="B33:B37"/>
    </sheetView>
  </sheetViews>
  <sheetFormatPr baseColWidth="10" defaultRowHeight="14.4"/>
  <sheetData>
    <row r="1" spans="1:10" ht="31.2">
      <c r="A1" s="4" t="s">
        <v>9</v>
      </c>
      <c r="F1" s="1"/>
      <c r="J1" s="1"/>
    </row>
    <row r="2" spans="1:10">
      <c r="F2" s="3"/>
      <c r="G2" s="1"/>
      <c r="H2" s="1"/>
      <c r="I2" s="1"/>
      <c r="J2" s="3"/>
    </row>
    <row r="3" spans="1:10" ht="23.4">
      <c r="A3" s="5" t="s">
        <v>10</v>
      </c>
      <c r="F3" s="2"/>
      <c r="G3" s="2"/>
      <c r="H3" s="2"/>
      <c r="I3" s="2"/>
      <c r="J3" s="2"/>
    </row>
    <row r="4" spans="1:10">
      <c r="F4" s="2"/>
      <c r="G4" s="2"/>
      <c r="H4" s="2"/>
      <c r="I4" s="2"/>
      <c r="J4" s="2"/>
    </row>
    <row r="5" spans="1:10">
      <c r="A5" s="1" t="s">
        <v>0</v>
      </c>
      <c r="B5" s="1" t="s">
        <v>1</v>
      </c>
      <c r="C5" s="1" t="s">
        <v>2</v>
      </c>
      <c r="F5" s="2"/>
      <c r="G5" s="2"/>
      <c r="H5" s="2"/>
      <c r="I5" s="2"/>
      <c r="J5" s="2"/>
    </row>
    <row r="6" spans="1:10">
      <c r="A6" s="2" t="s">
        <v>11</v>
      </c>
      <c r="B6" s="2">
        <v>1.1838</v>
      </c>
      <c r="C6" s="2"/>
      <c r="F6" s="2"/>
      <c r="G6" s="2"/>
      <c r="H6" s="2"/>
      <c r="I6" s="2"/>
      <c r="J6" s="2"/>
    </row>
    <row r="7" spans="1:10">
      <c r="A7" s="2" t="s">
        <v>12</v>
      </c>
      <c r="B7" s="2">
        <v>1.0000000000000001E-5</v>
      </c>
      <c r="C7" s="2"/>
      <c r="F7" s="2"/>
      <c r="G7" s="2"/>
      <c r="H7" s="2"/>
      <c r="I7" s="2"/>
      <c r="J7" s="2"/>
    </row>
    <row r="8" spans="1:10">
      <c r="A8" s="2"/>
      <c r="B8" s="2"/>
      <c r="C8" s="2"/>
      <c r="F8" s="2"/>
      <c r="G8" s="2"/>
      <c r="H8" s="2"/>
      <c r="I8" s="2"/>
      <c r="J8" s="2"/>
    </row>
    <row r="9" spans="1:10">
      <c r="F9" s="2"/>
      <c r="G9" s="2"/>
      <c r="H9" s="2"/>
      <c r="I9" s="2"/>
      <c r="J9" s="2"/>
    </row>
    <row r="10" spans="1:10" ht="23.4">
      <c r="A10" s="5" t="s">
        <v>13</v>
      </c>
    </row>
    <row r="12" spans="1:10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</row>
    <row r="13" spans="1:10">
      <c r="A13" s="2" t="s">
        <v>14</v>
      </c>
      <c r="B13" s="2" t="s">
        <v>15</v>
      </c>
      <c r="C13" s="2" t="s">
        <v>16</v>
      </c>
      <c r="D13" s="2" t="s">
        <v>17</v>
      </c>
      <c r="E13" s="2"/>
    </row>
    <row r="14" spans="1:10">
      <c r="A14" s="2">
        <v>6</v>
      </c>
      <c r="B14" s="2">
        <v>4</v>
      </c>
      <c r="C14" s="2">
        <v>0</v>
      </c>
      <c r="D14" s="2">
        <v>26</v>
      </c>
      <c r="E14" s="2"/>
    </row>
    <row r="15" spans="1:10">
      <c r="A15" s="2">
        <v>4</v>
      </c>
      <c r="B15" s="2">
        <v>8</v>
      </c>
      <c r="C15" s="2">
        <v>-2</v>
      </c>
      <c r="D15" s="2">
        <v>-48</v>
      </c>
      <c r="E15" s="2"/>
    </row>
    <row r="16" spans="1:10">
      <c r="A16" s="2">
        <v>0</v>
      </c>
      <c r="B16" s="2">
        <v>-2</v>
      </c>
      <c r="C16" s="2">
        <v>5</v>
      </c>
      <c r="D16" s="2">
        <v>31</v>
      </c>
      <c r="E16" s="2"/>
    </row>
    <row r="18" spans="1:5" ht="23.4">
      <c r="A18" s="5" t="s">
        <v>18</v>
      </c>
    </row>
    <row r="20" spans="1:5">
      <c r="A20" s="6" t="s">
        <v>19</v>
      </c>
    </row>
    <row r="22" spans="1: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</row>
    <row r="23" spans="1:5">
      <c r="A23" s="2" t="s">
        <v>20</v>
      </c>
      <c r="B23" s="2" t="s">
        <v>5</v>
      </c>
      <c r="C23" s="2" t="s">
        <v>6</v>
      </c>
      <c r="D23" s="2" t="s">
        <v>7</v>
      </c>
      <c r="E23" s="2" t="s">
        <v>8</v>
      </c>
    </row>
    <row r="25" spans="1:5">
      <c r="A25" s="6" t="s">
        <v>21</v>
      </c>
    </row>
    <row r="27" spans="1: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</row>
    <row r="28" spans="1:5">
      <c r="A28" s="2">
        <v>0</v>
      </c>
      <c r="B28" s="2">
        <v>0</v>
      </c>
      <c r="C28" s="2">
        <v>0</v>
      </c>
      <c r="D28" s="2">
        <v>0</v>
      </c>
      <c r="E28" s="2"/>
    </row>
    <row r="30" spans="1:5">
      <c r="A30" s="6" t="s">
        <v>22</v>
      </c>
    </row>
    <row r="32" spans="1:5">
      <c r="A32" s="1" t="s">
        <v>23</v>
      </c>
      <c r="B32" s="1" t="s">
        <v>24</v>
      </c>
    </row>
    <row r="33" spans="1:2">
      <c r="A33" s="3" t="s">
        <v>25</v>
      </c>
      <c r="B33" s="7">
        <f>A11+1</f>
        <v>1</v>
      </c>
    </row>
    <row r="34" spans="1:2">
      <c r="A34" s="3" t="s">
        <v>26</v>
      </c>
      <c r="B34" s="7">
        <f>B11+$B$1*((D6-B6*C11-B7*D11)/B6-B11)</f>
        <v>0</v>
      </c>
    </row>
    <row r="35" spans="1:2">
      <c r="A35" s="3" t="s">
        <v>27</v>
      </c>
      <c r="B35" s="7" t="e">
        <f>C11+$B$1*((D7-C6*B12-C7*D11)/C7-C11)</f>
        <v>#VALUE!</v>
      </c>
    </row>
    <row r="36" spans="1:2">
      <c r="A36" s="3" t="s">
        <v>28</v>
      </c>
      <c r="B36" s="7" t="e">
        <f>D11+$B$1*((D8-D6*B12-D7*C12)/D8-D11)</f>
        <v>#VALUE!</v>
      </c>
    </row>
    <row r="37" spans="1:2">
      <c r="A37" s="3" t="s">
        <v>29</v>
      </c>
      <c r="B37" s="7" t="e" cm="1">
        <f t="array" aca="1" ref="B37" ca="1">_xludf.SQRT((B12-B11)^2+(C12-C11)^2+(D12-D11)^2)/_xludf.SQRT(B12^2+C12^2+D12^2)</f>
        <v>#NAME?</v>
      </c>
    </row>
    <row r="39" spans="1:2" ht="23.4">
      <c r="A39" s="5" t="s">
        <v>30</v>
      </c>
    </row>
    <row r="40" spans="1:2">
      <c r="A40" s="8"/>
    </row>
    <row r="41" spans="1:2">
      <c r="A41" s="9" t="s">
        <v>31</v>
      </c>
    </row>
    <row r="42" spans="1:2">
      <c r="A42" s="9" t="s">
        <v>32</v>
      </c>
    </row>
    <row r="43" spans="1:2">
      <c r="A43" s="9" t="s">
        <v>33</v>
      </c>
    </row>
    <row r="44" spans="1:2">
      <c r="A44" s="9" t="s">
        <v>34</v>
      </c>
    </row>
    <row r="45" spans="1:2">
      <c r="A45" s="9" t="s">
        <v>35</v>
      </c>
    </row>
    <row r="47" spans="1:2">
      <c r="A47" t="s">
        <v>36</v>
      </c>
    </row>
    <row r="51" spans="1:1" ht="23.4">
      <c r="A51" s="5" t="s">
        <v>37</v>
      </c>
    </row>
    <row r="53" spans="1:1" ht="18">
      <c r="A53" s="10" t="s">
        <v>38</v>
      </c>
    </row>
    <row r="55" spans="1:1" ht="18">
      <c r="A55" s="10" t="s">
        <v>39</v>
      </c>
    </row>
    <row r="57" spans="1:1" ht="18">
      <c r="A57" s="10" t="s">
        <v>40</v>
      </c>
    </row>
    <row r="59" spans="1:1" ht="18">
      <c r="A59" s="10" t="s">
        <v>41</v>
      </c>
    </row>
    <row r="61" spans="1:1" ht="18">
      <c r="A61" s="10" t="s">
        <v>42</v>
      </c>
    </row>
    <row r="63" spans="1:1" ht="18">
      <c r="A63" s="10" t="s">
        <v>43</v>
      </c>
    </row>
    <row r="65" spans="1:1" ht="18">
      <c r="A65" s="10" t="s">
        <v>44</v>
      </c>
    </row>
    <row r="67" spans="1:1" ht="18">
      <c r="A67" s="10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ABD5-0535-497D-B19B-306F622C8A91}">
  <dimension ref="A1:E28"/>
  <sheetViews>
    <sheetView tabSelected="1" workbookViewId="0">
      <selection activeCell="E29" sqref="E29"/>
    </sheetView>
  </sheetViews>
  <sheetFormatPr baseColWidth="10" defaultRowHeight="14.4"/>
  <sheetData>
    <row r="1" spans="1:5">
      <c r="A1" s="2" t="s">
        <v>11</v>
      </c>
      <c r="B1" s="2">
        <v>0.5</v>
      </c>
    </row>
    <row r="2" spans="1:5">
      <c r="A2" s="2" t="s">
        <v>12</v>
      </c>
      <c r="B2" s="2">
        <v>1.0000000000000001E-5</v>
      </c>
    </row>
    <row r="4" spans="1:5">
      <c r="A4" s="2"/>
      <c r="B4" s="2"/>
      <c r="C4" s="2"/>
      <c r="D4" s="2"/>
    </row>
    <row r="5" spans="1:5">
      <c r="A5" s="2" t="s">
        <v>14</v>
      </c>
      <c r="B5" s="2" t="s">
        <v>15</v>
      </c>
      <c r="C5" s="2" t="s">
        <v>16</v>
      </c>
      <c r="D5" s="2" t="s">
        <v>17</v>
      </c>
    </row>
    <row r="6" spans="1:5">
      <c r="A6" s="2">
        <v>6</v>
      </c>
      <c r="B6" s="2">
        <v>4</v>
      </c>
      <c r="C6" s="2">
        <v>0</v>
      </c>
      <c r="D6" s="2">
        <v>26</v>
      </c>
    </row>
    <row r="7" spans="1:5">
      <c r="A7" s="2">
        <v>4</v>
      </c>
      <c r="B7" s="2">
        <v>8</v>
      </c>
      <c r="C7" s="2">
        <v>-2</v>
      </c>
      <c r="D7" s="2">
        <v>-48</v>
      </c>
    </row>
    <row r="8" spans="1:5">
      <c r="A8" s="2">
        <v>0</v>
      </c>
      <c r="B8" s="2">
        <v>-2</v>
      </c>
      <c r="C8" s="2">
        <v>5</v>
      </c>
      <c r="D8" s="2">
        <v>31</v>
      </c>
    </row>
    <row r="10" spans="1:5">
      <c r="A10" s="2" t="s">
        <v>20</v>
      </c>
      <c r="B10" s="2" t="s">
        <v>5</v>
      </c>
      <c r="C10" s="2" t="s">
        <v>6</v>
      </c>
      <c r="D10" s="2" t="s">
        <v>7</v>
      </c>
      <c r="E10" s="2" t="s">
        <v>8</v>
      </c>
    </row>
    <row r="11" spans="1:5">
      <c r="A11" s="2">
        <v>0</v>
      </c>
      <c r="B11" s="2">
        <v>0</v>
      </c>
      <c r="C11" s="2">
        <v>0</v>
      </c>
      <c r="D11" s="2">
        <v>0</v>
      </c>
    </row>
    <row r="12" spans="1:5">
      <c r="A12">
        <v>1</v>
      </c>
      <c r="B12">
        <f>B11+$B$1*(($D$6-$B$6*C11)/$B$6-B11)</f>
        <v>3.25</v>
      </c>
      <c r="C12">
        <f>C11+$B$1*(($D$7-$C$6*B12-$C$7*D11)/$C$7-C11)</f>
        <v>12</v>
      </c>
      <c r="D12">
        <f>D11+$B$1*(($D$8-$D$7*C12)/$D$8-D11)</f>
        <v>9.7903225806451619</v>
      </c>
      <c r="E12">
        <f>SQRT((B12-B11)^2+(C12-C11)^2+(D12-D11)^2)/SQRT(B12^2+C12^2+D12^2)</f>
        <v>1</v>
      </c>
    </row>
    <row r="13" spans="1:5">
      <c r="A13">
        <v>2</v>
      </c>
      <c r="B13">
        <f>B12+$B$1*(($D$6-$B$6*C12)/$B$6-B12)</f>
        <v>-1.125</v>
      </c>
      <c r="C13">
        <f>C12+$B$1*(($D$7-$C$6*B13-$C$7*D12)/$C$7-C12)</f>
        <v>13.10483870967742</v>
      </c>
      <c r="D13">
        <f>D12+$B$1*(($D$8-$D$7*C13)/$D$8-D12)</f>
        <v>15.540842872008323</v>
      </c>
      <c r="E13">
        <f>SQRT((B13-B12)^2+(C13-C12)^2+(D13-D12)^2)/SQRT(B13^2+C13^2+D13^2)</f>
        <v>0.35902014807803212</v>
      </c>
    </row>
    <row r="14" spans="1:5">
      <c r="A14">
        <v>3</v>
      </c>
      <c r="B14">
        <f t="shared" ref="B14:B26" si="0">B13+$B$1*(($D$6-$B$6*C13)/$B$6-B13)</f>
        <v>-3.86491935483871</v>
      </c>
      <c r="C14">
        <f t="shared" ref="C14:C26" si="1">C13+$B$1*(($D$7-$C$6*B14-$C$7*D13)/$C$7-C13)</f>
        <v>10.781997918834548</v>
      </c>
      <c r="D14">
        <f t="shared" ref="D14:D26" si="2">D13+$B$1*(($D$8-$D$7*C14)/$D$8-D13)</f>
        <v>16.617774663488973</v>
      </c>
      <c r="E14">
        <f t="shared" ref="E14:E26" si="3">SQRT((B14-B13)^2+(C14-C13)^2+(D14-D13)^2)/SQRT(B14^2+C14^2+D14^2)</f>
        <v>0.18580331232250527</v>
      </c>
    </row>
    <row r="15" spans="1:5">
      <c r="A15">
        <v>4</v>
      </c>
      <c r="B15">
        <f t="shared" si="0"/>
        <v>-4.0734586368366292</v>
      </c>
      <c r="C15">
        <f t="shared" si="1"/>
        <v>9.0821116276727878</v>
      </c>
      <c r="D15">
        <f t="shared" si="2"/>
        <v>15.840199559620192</v>
      </c>
      <c r="E15">
        <f t="shared" si="3"/>
        <v>0.10053895899439018</v>
      </c>
    </row>
    <row r="16" spans="1:5">
      <c r="A16">
        <v>5</v>
      </c>
      <c r="B16">
        <f t="shared" si="0"/>
        <v>-3.3277851322547085</v>
      </c>
      <c r="C16">
        <f t="shared" si="1"/>
        <v>8.6209560340262978</v>
      </c>
      <c r="D16">
        <f t="shared" si="2"/>
        <v>15.094388322282068</v>
      </c>
      <c r="E16">
        <f t="shared" si="3"/>
        <v>6.5037009205497182E-2</v>
      </c>
    </row>
    <row r="17" spans="1:5">
      <c r="A17">
        <v>6</v>
      </c>
      <c r="B17">
        <f t="shared" si="0"/>
        <v>-2.7243705831405034</v>
      </c>
      <c r="C17">
        <f t="shared" si="1"/>
        <v>8.763283855872114</v>
      </c>
      <c r="D17">
        <f t="shared" si="2"/>
        <v>14.831671985042025</v>
      </c>
      <c r="E17">
        <f t="shared" si="3"/>
        <v>3.8606241113224311E-2</v>
      </c>
    </row>
    <row r="18" spans="1:5">
      <c r="A18">
        <v>7</v>
      </c>
      <c r="B18">
        <f t="shared" si="0"/>
        <v>-2.4938272195063087</v>
      </c>
      <c r="C18">
        <f t="shared" si="1"/>
        <v>8.9658059354150446</v>
      </c>
      <c r="D18">
        <f t="shared" si="2"/>
        <v>14.857105103810079</v>
      </c>
      <c r="E18">
        <f t="shared" si="3"/>
        <v>1.7564017597248027E-2</v>
      </c>
    </row>
    <row r="19" spans="1:5">
      <c r="A19">
        <v>8</v>
      </c>
      <c r="B19">
        <f t="shared" si="0"/>
        <v>-2.4798165774606766</v>
      </c>
      <c r="C19">
        <f t="shared" si="1"/>
        <v>9.0543504158024817</v>
      </c>
      <c r="D19">
        <f t="shared" si="2"/>
        <v>14.938372228655348</v>
      </c>
      <c r="E19">
        <f t="shared" si="3"/>
        <v>6.8580767765275127E-3</v>
      </c>
    </row>
    <row r="20" spans="1:5">
      <c r="A20">
        <v>9</v>
      </c>
      <c r="B20">
        <f t="shared" si="0"/>
        <v>-2.5170834966315789</v>
      </c>
      <c r="C20">
        <f t="shared" si="1"/>
        <v>9.0579890935735676</v>
      </c>
      <c r="D20">
        <f t="shared" si="2"/>
        <v>14.981822831933016</v>
      </c>
      <c r="E20">
        <f t="shared" si="3"/>
        <v>3.2429441786227062E-3</v>
      </c>
    </row>
    <row r="21" spans="1:5">
      <c r="A21">
        <v>10</v>
      </c>
      <c r="B21">
        <f t="shared" si="0"/>
        <v>-2.5375362951025733</v>
      </c>
      <c r="C21">
        <f t="shared" si="1"/>
        <v>9.0380831308202758</v>
      </c>
      <c r="D21">
        <f t="shared" si="2"/>
        <v>14.988137065633818</v>
      </c>
      <c r="E21">
        <f t="shared" si="3"/>
        <v>1.65282350516397E-3</v>
      </c>
    </row>
    <row r="22" spans="1:5">
      <c r="A22">
        <v>11</v>
      </c>
      <c r="B22">
        <f t="shared" si="0"/>
        <v>-2.5378097129614243</v>
      </c>
      <c r="C22">
        <f t="shared" si="1"/>
        <v>9.0249730325932287</v>
      </c>
      <c r="D22">
        <f t="shared" si="2"/>
        <v>14.981144429018119</v>
      </c>
      <c r="E22">
        <f t="shared" si="3"/>
        <v>8.4089462328613821E-4</v>
      </c>
    </row>
    <row r="23" spans="1:5">
      <c r="A23">
        <v>12</v>
      </c>
      <c r="B23">
        <f t="shared" si="0"/>
        <v>-2.5313913727773265</v>
      </c>
      <c r="C23">
        <f t="shared" si="1"/>
        <v>9.0219143017875538</v>
      </c>
      <c r="D23">
        <f t="shared" si="2"/>
        <v>14.975280061054264</v>
      </c>
      <c r="E23">
        <f t="shared" si="3"/>
        <v>5.2172325880749126E-4</v>
      </c>
    </row>
    <row r="24" spans="1:5">
      <c r="A24">
        <v>13</v>
      </c>
      <c r="B24">
        <f t="shared" si="0"/>
        <v>-2.5266528372824402</v>
      </c>
      <c r="C24">
        <f t="shared" si="1"/>
        <v>9.0233171203666451</v>
      </c>
      <c r="D24">
        <f t="shared" si="2"/>
        <v>14.973433930165825</v>
      </c>
      <c r="E24">
        <f t="shared" si="3"/>
        <v>2.9865676179160604E-4</v>
      </c>
    </row>
    <row r="25" spans="1:5">
      <c r="A25">
        <v>14</v>
      </c>
      <c r="B25">
        <f t="shared" si="0"/>
        <v>-2.5249849788245426</v>
      </c>
      <c r="C25">
        <f t="shared" si="1"/>
        <v>9.0249415951004099</v>
      </c>
      <c r="D25">
        <f t="shared" si="2"/>
        <v>14.973768522580006</v>
      </c>
      <c r="E25">
        <f t="shared" si="3"/>
        <v>1.331561282950537E-4</v>
      </c>
    </row>
    <row r="26" spans="1:5">
      <c r="A26">
        <v>15</v>
      </c>
      <c r="B26">
        <f t="shared" si="0"/>
        <v>-2.5249632869624765</v>
      </c>
      <c r="C26">
        <f t="shared" si="1"/>
        <v>9.025586536260203</v>
      </c>
      <c r="D26">
        <f t="shared" si="2"/>
        <v>14.974435128072095</v>
      </c>
      <c r="E26">
        <f t="shared" si="3"/>
        <v>5.2519484988597686E-5</v>
      </c>
    </row>
    <row r="28" spans="1:5">
      <c r="E2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Heredia</dc:creator>
  <cp:lastModifiedBy>Héctor Heredia</cp:lastModifiedBy>
  <dcterms:created xsi:type="dcterms:W3CDTF">2025-10-15T05:17:52Z</dcterms:created>
  <dcterms:modified xsi:type="dcterms:W3CDTF">2025-10-15T05:57:26Z</dcterms:modified>
</cp:coreProperties>
</file>